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f A" sheetId="1" state="visible" r:id="rId2"/>
    <sheet name="Ref 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" authorId="0">
      <text>
        <r>
          <rPr>
            <sz val="11"/>
            <color rgb="FF000000"/>
            <rFont val="Calibri"/>
            <family val="2"/>
            <charset val="1"/>
          </rPr>
          <t xml:space="preserve">Not reported, I copied the value from the Lys</t>
        </r>
      </text>
    </comment>
  </commentList>
</comments>
</file>

<file path=xl/sharedStrings.xml><?xml version="1.0" encoding="utf-8"?>
<sst xmlns="http://schemas.openxmlformats.org/spreadsheetml/2006/main" count="90" uniqueCount="44">
  <si>
    <t xml:space="preserve">Residue</t>
  </si>
  <si>
    <t xml:space="preserve">log10(K) uncharged</t>
  </si>
  <si>
    <t xml:space="preserve">DeltaG [J/mol] (Ref. A)</t>
  </si>
  <si>
    <t xml:space="preserve">DeltaCp [J/K/mol]</t>
  </si>
  <si>
    <t xml:space="preserve">DeltaCp/DeltaG [1/K]</t>
  </si>
  <si>
    <t xml:space="preserve">DeltaG [Kcal/mol] (Ref. B)</t>
  </si>
  <si>
    <t xml:space="preserve">corrected by size</t>
  </si>
  <si>
    <t xml:space="preserve">J/mol</t>
  </si>
  <si>
    <t xml:space="preserve">Ala</t>
  </si>
  <si>
    <t xml:space="preserve">X</t>
  </si>
  <si>
    <t xml:space="preserve">Arg</t>
  </si>
  <si>
    <t xml:space="preserve">ArgH</t>
  </si>
  <si>
    <t xml:space="preserve">Asn</t>
  </si>
  <si>
    <t xml:space="preserve">AspH</t>
  </si>
  <si>
    <t xml:space="preserve">Asp</t>
  </si>
  <si>
    <t xml:space="preserve">Cys</t>
  </si>
  <si>
    <t xml:space="preserve">CysH</t>
  </si>
  <si>
    <t xml:space="preserve">Gln</t>
  </si>
  <si>
    <t xml:space="preserve">GluH</t>
  </si>
  <si>
    <t xml:space="preserve">Glu</t>
  </si>
  <si>
    <t xml:space="preserve">Gly</t>
  </si>
  <si>
    <t xml:space="preserve">His</t>
  </si>
  <si>
    <t xml:space="preserve">HisH</t>
  </si>
  <si>
    <t xml:space="preserve">Ile</t>
  </si>
  <si>
    <t xml:space="preserve">Leu</t>
  </si>
  <si>
    <t xml:space="preserve">Lys</t>
  </si>
  <si>
    <t xml:space="preserve">LysH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</si>
  <si>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</si>
  <si>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</si>
  <si>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</si>
  <si>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</si>
  <si>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</si>
  <si>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</si>
  <si>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</si>
  <si>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</si>
  <si>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Conv Kcal to J</t>
  </si>
  <si>
    <t xml:space="preserve">T [K]</t>
  </si>
  <si>
    <t xml:space="preserve">Not sure but I assumed it</t>
  </si>
  <si>
    <t xml:space="preserve">R [J/mol/K]</t>
  </si>
  <si>
    <t xml:space="preserve">Reference:</t>
  </si>
  <si>
    <t xml:space="preserve">A) 10.1016/S0021-9673(00)82337-7 (VLADIMIR PLISKA*, MANFRED SCHMIDT and JEAN-LUC FAUCHl?RE)</t>
  </si>
  <si>
    <t xml:space="preserve">B) https://doi.org/10.1021/bi00104a017 (    Kim A. SharpAnthony NichollsRichard FriedmanBarry Honig)</t>
  </si>
  <si>
    <t xml:space="preserve">25C</t>
  </si>
  <si>
    <t xml:space="preserve">C) http://www.pnas.org/cgi/doi/10.1073/pnas.1507565112 (Wolfenden)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</si>
</sst>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  <fill>
      <patternFill patternType="solid">
        <fgColor rgb="FFFFA6A6"/>
        <bgColor rgb="FFFFCC99"/>
      </patternFill>
    </fill>
    <fill>
      <patternFill patternType="solid">
        <fgColor rgb="FFFFFFA6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B2" activeCellId="0" sqref="B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8.4"/>
    <col collapsed="false" customWidth="true" hidden="false" outlineLevel="0" max="3" min="3" style="1" width="22.58"/>
    <col collapsed="false" customWidth="true" hidden="false" outlineLevel="0" max="4" min="4" style="1" width="18.82"/>
    <col collapsed="false" customWidth="true" hidden="false" outlineLevel="0" max="5" min="5" style="1" width="21.74"/>
    <col collapsed="false" customWidth="true" hidden="false" outlineLevel="0" max="6" min="6" style="2" width="17.52"/>
    <col collapsed="false" customWidth="true" hidden="false" outlineLevel="0" max="7" min="7" style="1" width="25.58"/>
    <col collapsed="false" customWidth="true" hidden="false" outlineLevel="0" max="8" min="8" style="1" width="18.13"/>
    <col collapsed="false" customWidth="true" hidden="false" outlineLevel="0" max="9" min="9" style="1" width="15.89"/>
    <col collapsed="false" customWidth="true" hidden="false" outlineLevel="0" max="10" min="10" style="1" width="15.48"/>
    <col collapsed="false" customWidth="true" hidden="false" outlineLevel="0" max="11" min="11" style="1" width="12.51"/>
    <col collapsed="false" customWidth="true" hidden="false" outlineLevel="0" max="13" min="12" style="1" width="20.07"/>
    <col collapsed="false" customWidth="true" hidden="false" outlineLevel="0" max="14" min="14" style="1" width="21.04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/>
      <c r="G1" s="4" t="s">
        <v>5</v>
      </c>
      <c r="H1" s="2" t="s">
        <v>6</v>
      </c>
      <c r="J1" s="2" t="s">
        <v>6</v>
      </c>
      <c r="K1" s="1" t="s">
        <v>7</v>
      </c>
      <c r="M1" s="3" t="s">
        <v>4</v>
      </c>
      <c r="N1" s="3" t="s">
        <v>4</v>
      </c>
    </row>
    <row r="2" customFormat="false" ht="13.8" hidden="false" customHeight="false" outlineLevel="0" collapsed="false">
      <c r="A2" s="5" t="s">
        <v>8</v>
      </c>
      <c r="B2" s="2" t="n">
        <v>0.4</v>
      </c>
      <c r="C2" s="2" t="n">
        <f aca="false">LN(10)*$B$33*$B$32*B2</f>
        <v>2243.76543337495</v>
      </c>
      <c r="D2" s="5" t="n">
        <v>181.233333333333</v>
      </c>
      <c r="E2" s="5" t="n">
        <f aca="false">D2/C2</f>
        <v>0.0807719606682468</v>
      </c>
      <c r="F2" s="6" t="s">
        <v>9</v>
      </c>
      <c r="G2" s="2" t="n">
        <v>1.81</v>
      </c>
      <c r="H2" s="2" t="n">
        <v>2.89</v>
      </c>
      <c r="I2" s="1" t="n">
        <f aca="false">G2-$G$13</f>
        <v>0.87</v>
      </c>
      <c r="J2" s="1" t="n">
        <f aca="false">H2-$H$13</f>
        <v>1.42</v>
      </c>
      <c r="K2" s="1" t="n">
        <f aca="false">I2*$G$32</f>
        <v>3608.76</v>
      </c>
      <c r="L2" s="1" t="n">
        <f aca="false">J2*$G$32</f>
        <v>5890.16</v>
      </c>
      <c r="M2" s="1" t="n">
        <f aca="false">$D$2/K2</f>
        <v>0.0502203896444578</v>
      </c>
      <c r="N2" s="1" t="n">
        <f aca="false">$D$2/L2</f>
        <v>0.0307688302751255</v>
      </c>
    </row>
    <row r="3" customFormat="false" ht="13.8" hidden="false" customHeight="false" outlineLevel="0" collapsed="false">
      <c r="A3" s="5" t="s">
        <v>10</v>
      </c>
      <c r="B3" s="7" t="n">
        <v>-0.12</v>
      </c>
      <c r="C3" s="2" t="n">
        <f aca="false">LN(10)*$B$33*$B$32*B3</f>
        <v>-673.129630012486</v>
      </c>
      <c r="D3" s="8" t="n">
        <v>276.3</v>
      </c>
      <c r="E3" s="5" t="n">
        <f aca="false">D3/C3</f>
        <v>-0.410470714229108</v>
      </c>
      <c r="F3" s="6"/>
      <c r="G3" s="2"/>
      <c r="H3" s="2"/>
    </row>
    <row r="4" customFormat="false" ht="13.8" hidden="false" customHeight="false" outlineLevel="0" collapsed="false">
      <c r="A4" s="5" t="s">
        <v>11</v>
      </c>
      <c r="B4" s="2" t="n">
        <v>-0.9</v>
      </c>
      <c r="C4" s="2" t="n">
        <f aca="false">LN(10)*$B$33*$B$32*B4</f>
        <v>-5048.47222509364</v>
      </c>
      <c r="D4" s="8" t="n">
        <v>276.3</v>
      </c>
      <c r="E4" s="5" t="n">
        <f aca="false">D5/C4</f>
        <v>-0.0209040138536913</v>
      </c>
      <c r="F4" s="6"/>
      <c r="G4" s="2"/>
      <c r="H4" s="2"/>
    </row>
    <row r="5" customFormat="false" ht="13.8" hidden="false" customHeight="false" outlineLevel="0" collapsed="false">
      <c r="A5" s="5" t="s">
        <v>12</v>
      </c>
      <c r="B5" s="2" t="n">
        <v>-0.16</v>
      </c>
      <c r="C5" s="2" t="n">
        <f aca="false">LN(10)*$B$33*$B$32*B5</f>
        <v>-897.506173349981</v>
      </c>
      <c r="D5" s="8" t="n">
        <v>105.533333333333</v>
      </c>
      <c r="E5" s="5" t="n">
        <f aca="false">D7/C5</f>
        <v>-0.116285179718724</v>
      </c>
      <c r="F5" s="6"/>
      <c r="G5" s="2"/>
      <c r="H5" s="2"/>
    </row>
    <row r="6" customFormat="false" ht="13.8" hidden="false" customHeight="false" outlineLevel="0" collapsed="false">
      <c r="A6" s="5" t="s">
        <v>13</v>
      </c>
      <c r="B6" s="2" t="n">
        <v>-0.07</v>
      </c>
      <c r="C6" s="2" t="n">
        <f aca="false">LN(10)*$B$33*$B$32*B6</f>
        <v>-392.658950840617</v>
      </c>
      <c r="D6" s="8" t="n">
        <v>105.533333333333</v>
      </c>
      <c r="E6" s="5" t="n">
        <f aca="false">D8/C6</f>
        <v>-0.644240163442366</v>
      </c>
      <c r="F6" s="6"/>
      <c r="G6" s="2"/>
      <c r="H6" s="2"/>
    </row>
    <row r="7" customFormat="false" ht="13.8" hidden="false" customHeight="false" outlineLevel="0" collapsed="false">
      <c r="A7" s="5" t="s">
        <v>14</v>
      </c>
      <c r="B7" s="2" t="n">
        <v>-1.05</v>
      </c>
      <c r="C7" s="2" t="n">
        <f aca="false">LN(10)*$B$33*$B$32*B7</f>
        <v>-5889.88426260925</v>
      </c>
      <c r="D7" s="5" t="n">
        <v>104.366666666667</v>
      </c>
      <c r="E7" s="5" t="n">
        <f aca="false">D10/C7</f>
        <v>-0.0332038216621984</v>
      </c>
      <c r="F7" s="6"/>
      <c r="G7" s="2"/>
      <c r="H7" s="2"/>
    </row>
    <row r="8" customFormat="false" ht="13.8" hidden="false" customHeight="false" outlineLevel="0" collapsed="false">
      <c r="A8" s="5" t="s">
        <v>15</v>
      </c>
      <c r="B8" s="2" t="n">
        <v>0.82</v>
      </c>
      <c r="C8" s="2" t="n">
        <f aca="false">LN(10)*$B$33*$B$32*B8</f>
        <v>4599.71913841865</v>
      </c>
      <c r="D8" s="5" t="n">
        <v>252.966666666667</v>
      </c>
      <c r="E8" s="5" t="n">
        <f aca="false">D11/C8</f>
        <v>0.0423504118703584</v>
      </c>
      <c r="F8" s="6"/>
      <c r="G8" s="2"/>
      <c r="H8" s="2"/>
    </row>
    <row r="9" customFormat="false" ht="13.8" hidden="false" customHeight="false" outlineLevel="0" collapsed="false">
      <c r="A9" s="5" t="s">
        <v>16</v>
      </c>
      <c r="B9" s="2" t="n">
        <v>-0.39</v>
      </c>
      <c r="C9" s="2" t="n">
        <f aca="false">LN(10)*$B$33*$B$32*B9</f>
        <v>-2187.67129754058</v>
      </c>
      <c r="D9" s="5" t="n">
        <v>252.966666666667</v>
      </c>
      <c r="E9" s="5" t="n">
        <f aca="false">D13/C9</f>
        <v>-0.0422214556503562</v>
      </c>
      <c r="F9" s="6"/>
      <c r="G9" s="2"/>
      <c r="H9" s="2"/>
    </row>
    <row r="10" customFormat="false" ht="13.8" hidden="false" customHeight="false" outlineLevel="0" collapsed="false">
      <c r="A10" s="5" t="s">
        <v>17</v>
      </c>
      <c r="B10" s="2" t="n">
        <v>0.1</v>
      </c>
      <c r="C10" s="2" t="n">
        <f aca="false">LN(10)*$B$33*$B$32*B10</f>
        <v>560.941358343738</v>
      </c>
      <c r="D10" s="5" t="n">
        <v>195.566666666667</v>
      </c>
      <c r="E10" s="5" t="n">
        <f aca="false">D14/C10</f>
        <v>0.361059726334572</v>
      </c>
      <c r="F10" s="6"/>
      <c r="G10" s="2"/>
      <c r="H10" s="2"/>
    </row>
    <row r="11" customFormat="false" ht="13.8" hidden="false" customHeight="false" outlineLevel="0" collapsed="false">
      <c r="A11" s="5" t="s">
        <v>18</v>
      </c>
      <c r="B11" s="2" t="n">
        <v>0.36</v>
      </c>
      <c r="C11" s="2" t="n">
        <f aca="false">LN(10)*$B$33*$B$32*B11</f>
        <v>2019.38889003746</v>
      </c>
      <c r="D11" s="5" t="n">
        <v>194.8</v>
      </c>
      <c r="E11" s="5" t="n">
        <f aca="false">D16/C11</f>
        <v>0.20654763530578</v>
      </c>
      <c r="F11" s="6"/>
      <c r="G11" s="2"/>
      <c r="H11" s="2"/>
    </row>
    <row r="12" customFormat="false" ht="13.8" hidden="false" customHeight="false" outlineLevel="0" collapsed="false">
      <c r="A12" s="5" t="s">
        <v>19</v>
      </c>
      <c r="B12" s="2" t="n">
        <v>-0.98</v>
      </c>
      <c r="C12" s="2" t="n">
        <f aca="false">LN(10)*$B$33*$B$32*B12</f>
        <v>-5497.22531176863</v>
      </c>
      <c r="D12" s="5" t="n">
        <v>194.8</v>
      </c>
      <c r="E12" s="5" t="n">
        <f aca="false">D17/C12</f>
        <v>-0.0721879331530727</v>
      </c>
      <c r="F12" s="6"/>
      <c r="G12" s="2"/>
      <c r="H12" s="2"/>
    </row>
    <row r="13" customFormat="false" ht="13.8" hidden="false" customHeight="false" outlineLevel="0" collapsed="false">
      <c r="A13" s="5" t="s">
        <v>20</v>
      </c>
      <c r="B13" s="2" t="n">
        <v>0</v>
      </c>
      <c r="C13" s="2" t="n">
        <f aca="false">LN(10)*$B$33*$B$32*B13</f>
        <v>0</v>
      </c>
      <c r="D13" s="5" t="n">
        <v>92.3666666666667</v>
      </c>
      <c r="E13" s="5"/>
      <c r="F13" s="6"/>
      <c r="G13" s="2" t="n">
        <v>0.94</v>
      </c>
      <c r="H13" s="2" t="n">
        <v>1.47</v>
      </c>
      <c r="I13" s="1" t="n">
        <f aca="false">G13-$G$13</f>
        <v>0</v>
      </c>
      <c r="J13" s="1" t="n">
        <f aca="false">H13-$H$13</f>
        <v>0</v>
      </c>
      <c r="K13" s="1" t="n">
        <f aca="false">I13*$G$32</f>
        <v>0</v>
      </c>
      <c r="L13" s="1" t="n">
        <f aca="false">J13*$G$32</f>
        <v>0</v>
      </c>
    </row>
    <row r="14" customFormat="false" ht="13.8" hidden="false" customHeight="false" outlineLevel="0" collapsed="false">
      <c r="A14" s="5" t="s">
        <v>21</v>
      </c>
      <c r="B14" s="2" t="n">
        <v>0.39</v>
      </c>
      <c r="C14" s="2" t="n">
        <f aca="false">LN(10)*$B$33*$B$32*B14</f>
        <v>2187.67129754058</v>
      </c>
      <c r="D14" s="5" t="n">
        <v>202.533333333333</v>
      </c>
      <c r="E14" s="5" t="n">
        <f aca="false">D20/C14</f>
        <v>0.0883435582319614</v>
      </c>
      <c r="F14" s="6"/>
      <c r="G14" s="2"/>
      <c r="H14" s="2"/>
    </row>
    <row r="15" customFormat="false" ht="13.8" hidden="false" customHeight="false" outlineLevel="0" collapsed="false">
      <c r="A15" s="5" t="s">
        <v>22</v>
      </c>
      <c r="B15" s="6" t="n">
        <v>-0.84</v>
      </c>
      <c r="C15" s="2" t="n">
        <f aca="false">LN(10)*$B$33*$B$32*B15</f>
        <v>-4711.9074100874</v>
      </c>
      <c r="D15" s="5" t="n">
        <v>202.533333333333</v>
      </c>
      <c r="E15" s="5" t="n">
        <f aca="false">D21/C15</f>
        <v>-0.0844739292799368</v>
      </c>
      <c r="F15" s="6"/>
      <c r="G15" s="2"/>
      <c r="H15" s="2"/>
    </row>
    <row r="16" customFormat="false" ht="13.8" hidden="false" customHeight="false" outlineLevel="0" collapsed="false">
      <c r="A16" s="5" t="s">
        <v>23</v>
      </c>
      <c r="B16" s="2" t="n">
        <v>1.55</v>
      </c>
      <c r="C16" s="2" t="n">
        <f aca="false">LN(10)*$B$33*$B$32*B16</f>
        <v>8694.59105432794</v>
      </c>
      <c r="D16" s="5" t="n">
        <v>417.1</v>
      </c>
      <c r="E16" s="9" t="n">
        <f aca="false">D22/C16</f>
        <v>0.0226079254836052</v>
      </c>
      <c r="F16" s="6" t="s">
        <v>9</v>
      </c>
      <c r="G16" s="2" t="n">
        <v>4.92</v>
      </c>
      <c r="H16" s="2" t="n">
        <v>7.7</v>
      </c>
      <c r="I16" s="1" t="n">
        <f aca="false">G16-$G$13</f>
        <v>3.98</v>
      </c>
      <c r="J16" s="1" t="n">
        <f aca="false">H16-$H$13</f>
        <v>6.23</v>
      </c>
      <c r="K16" s="1" t="n">
        <f aca="false">I16*$G$32</f>
        <v>16509.04</v>
      </c>
      <c r="L16" s="1" t="n">
        <f aca="false">J16*$G$32</f>
        <v>25842.04</v>
      </c>
      <c r="M16" s="1" t="n">
        <f aca="false">$D$2/K16</f>
        <v>0.0109778238670046</v>
      </c>
      <c r="N16" s="1" t="n">
        <f aca="false">$D$2/L16</f>
        <v>0.00701312022322283</v>
      </c>
    </row>
    <row r="17" customFormat="false" ht="13.8" hidden="false" customHeight="false" outlineLevel="0" collapsed="false">
      <c r="A17" s="5" t="s">
        <v>24</v>
      </c>
      <c r="B17" s="2" t="n">
        <v>1.64</v>
      </c>
      <c r="C17" s="2" t="n">
        <f aca="false">LN(10)*$B$33*$B$32*B17</f>
        <v>9199.4382768373</v>
      </c>
      <c r="D17" s="5" t="n">
        <v>396.833333333333</v>
      </c>
      <c r="E17" s="9" t="n">
        <f aca="false">D23/C17</f>
        <v>0.0104354197627167</v>
      </c>
      <c r="F17" s="6" t="s">
        <v>9</v>
      </c>
      <c r="G17" s="2" t="n">
        <v>4.92</v>
      </c>
      <c r="H17" s="2" t="n">
        <v>7.85</v>
      </c>
      <c r="I17" s="1" t="n">
        <f aca="false">G17-$G$13</f>
        <v>3.98</v>
      </c>
      <c r="J17" s="1" t="n">
        <f aca="false">H17-$H$13</f>
        <v>6.38</v>
      </c>
      <c r="K17" s="1" t="n">
        <f aca="false">I17*$G$32</f>
        <v>16509.04</v>
      </c>
      <c r="L17" s="1" t="n">
        <f aca="false">J17*$G$32</f>
        <v>26464.24</v>
      </c>
      <c r="M17" s="1" t="n">
        <f aca="false">$D$2/K17</f>
        <v>0.0109778238670046</v>
      </c>
      <c r="N17" s="1" t="n">
        <f aca="false">$D$2/L17</f>
        <v>0.00684823495151697</v>
      </c>
    </row>
    <row r="18" customFormat="false" ht="13.8" hidden="false" customHeight="false" outlineLevel="0" collapsed="false">
      <c r="A18" s="5" t="s">
        <v>25</v>
      </c>
      <c r="B18" s="2" t="n">
        <v>-0.12</v>
      </c>
      <c r="C18" s="2" t="n">
        <f aca="false">LN(10)*$B$33*$B$32*B18</f>
        <v>-673.129630012486</v>
      </c>
      <c r="D18" s="5" t="n">
        <v>258.966666666667</v>
      </c>
      <c r="E18" s="5" t="n">
        <f aca="false">D24/C18</f>
        <v>-0.300387905961367</v>
      </c>
      <c r="F18" s="6"/>
      <c r="G18" s="2"/>
      <c r="H18" s="2"/>
    </row>
    <row r="19" customFormat="false" ht="13.8" hidden="false" customHeight="false" outlineLevel="0" collapsed="false">
      <c r="A19" s="5" t="s">
        <v>26</v>
      </c>
      <c r="B19" s="2" t="n">
        <v>-1.14</v>
      </c>
      <c r="C19" s="2" t="n">
        <f aca="false">LN(10)*$B$33*$B$32*B19</f>
        <v>-6394.73148511861</v>
      </c>
      <c r="D19" s="5" t="n">
        <v>258.966666666667</v>
      </c>
      <c r="E19" s="5" t="n">
        <f aca="false">D25/C19</f>
        <v>-0.0740505421432171</v>
      </c>
      <c r="F19" s="6"/>
      <c r="G19" s="2"/>
      <c r="H19" s="2"/>
    </row>
    <row r="20" customFormat="false" ht="13.8" hidden="false" customHeight="false" outlineLevel="0" collapsed="false">
      <c r="A20" s="5" t="s">
        <v>27</v>
      </c>
      <c r="B20" s="2" t="n">
        <v>1.42</v>
      </c>
      <c r="C20" s="2" t="n">
        <f aca="false">LN(10)*$B$33*$B$32*B20</f>
        <v>7965.36728848108</v>
      </c>
      <c r="D20" s="5" t="n">
        <v>193.266666666667</v>
      </c>
      <c r="E20" s="10" t="n">
        <f aca="false">D26/C20</f>
        <v>0.0398642425180476</v>
      </c>
      <c r="F20" s="6" t="s">
        <v>9</v>
      </c>
      <c r="G20" s="2" t="n">
        <v>2.35</v>
      </c>
      <c r="H20" s="2" t="n">
        <v>4.86</v>
      </c>
      <c r="I20" s="1" t="n">
        <f aca="false">G20-$G$13</f>
        <v>1.41</v>
      </c>
      <c r="J20" s="1" t="n">
        <f aca="false">H20-$H$13</f>
        <v>3.39</v>
      </c>
      <c r="K20" s="1" t="n">
        <f aca="false">I20*$G$32</f>
        <v>5848.68</v>
      </c>
      <c r="L20" s="1" t="n">
        <f aca="false">J20*$G$32</f>
        <v>14061.72</v>
      </c>
      <c r="M20" s="1" t="n">
        <f aca="false">$D$2/K20</f>
        <v>0.030987048929559</v>
      </c>
      <c r="N20" s="1" t="n">
        <f aca="false">$D$2/L20</f>
        <v>0.012888418581321</v>
      </c>
    </row>
    <row r="21" customFormat="false" ht="13.8" hidden="false" customHeight="false" outlineLevel="0" collapsed="false">
      <c r="A21" s="5" t="s">
        <v>28</v>
      </c>
      <c r="B21" s="2" t="n">
        <v>1.63</v>
      </c>
      <c r="C21" s="2" t="n">
        <f aca="false">LN(10)*$B$33*$B$32*B21</f>
        <v>9143.34414100293</v>
      </c>
      <c r="D21" s="5" t="n">
        <v>398.033333333333</v>
      </c>
      <c r="E21" s="9" t="n">
        <f aca="false">D27/C21</f>
        <v>0.0360918275535676</v>
      </c>
      <c r="F21" s="6" t="s">
        <v>9</v>
      </c>
      <c r="G21" s="2" t="n">
        <v>2.98</v>
      </c>
      <c r="H21" s="2" t="n">
        <v>5.93</v>
      </c>
      <c r="I21" s="1" t="n">
        <f aca="false">G21-$G$13</f>
        <v>2.04</v>
      </c>
      <c r="J21" s="1" t="n">
        <f aca="false">H21-$H$13</f>
        <v>4.46</v>
      </c>
      <c r="K21" s="1" t="n">
        <f aca="false">I21*$G$32</f>
        <v>8461.92</v>
      </c>
      <c r="L21" s="1" t="n">
        <f aca="false">J21*$G$32</f>
        <v>18500.08</v>
      </c>
      <c r="M21" s="1" t="n">
        <f aca="false">$D$2/K21</f>
        <v>0.0214175191130776</v>
      </c>
      <c r="N21" s="1" t="n">
        <f aca="false">$D$2/L21</f>
        <v>0.00979635403378436</v>
      </c>
    </row>
    <row r="22" customFormat="false" ht="13.8" hidden="false" customHeight="false" outlineLevel="0" collapsed="false">
      <c r="A22" s="5" t="s">
        <v>29</v>
      </c>
      <c r="B22" s="2" t="n">
        <v>0.77</v>
      </c>
      <c r="C22" s="2" t="n">
        <f aca="false">LN(10)*$B$33*$B$32*B22</f>
        <v>4319.24845924678</v>
      </c>
      <c r="D22" s="5" t="n">
        <v>196.566666666667</v>
      </c>
      <c r="E22" s="9" t="n">
        <f aca="false">D27/C22</f>
        <v>0.076402180405604</v>
      </c>
      <c r="F22" s="6" t="s">
        <v>9</v>
      </c>
      <c r="G22" s="2"/>
    </row>
    <row r="23" customFormat="false" ht="13.8" hidden="false" customHeight="false" outlineLevel="0" collapsed="false">
      <c r="A23" s="5" t="s">
        <v>30</v>
      </c>
      <c r="B23" s="2" t="n">
        <v>-0.08</v>
      </c>
      <c r="C23" s="2" t="n">
        <f aca="false">LN(10)*$B$33*$B$32*B23</f>
        <v>-448.75308667499</v>
      </c>
      <c r="D23" s="5" t="n">
        <v>96</v>
      </c>
      <c r="E23" s="5" t="n">
        <f aca="false">D27/C23</f>
        <v>-0.735370986403939</v>
      </c>
      <c r="F23" s="6"/>
      <c r="G23" s="2"/>
    </row>
    <row r="24" customFormat="false" ht="13.8" hidden="false" customHeight="false" outlineLevel="0" collapsed="false">
      <c r="A24" s="5" t="s">
        <v>31</v>
      </c>
      <c r="B24" s="2" t="n">
        <v>0.33</v>
      </c>
      <c r="C24" s="2" t="n">
        <f aca="false">LN(10)*$B$33*$B$32*B24</f>
        <v>1851.10648253434</v>
      </c>
      <c r="D24" s="5" t="n">
        <v>202.2</v>
      </c>
      <c r="E24" s="5" t="n">
        <f aca="false">D27/C24</f>
        <v>0.178271754279743</v>
      </c>
      <c r="F24" s="6"/>
      <c r="G24" s="2"/>
    </row>
    <row r="25" customFormat="false" ht="13.8" hidden="false" customHeight="false" outlineLevel="0" collapsed="false">
      <c r="A25" s="5" t="s">
        <v>32</v>
      </c>
      <c r="B25" s="2" t="n">
        <v>1.14</v>
      </c>
      <c r="C25" s="2" t="n">
        <f aca="false">LN(10)*$B$33*$B$32*B25</f>
        <v>6394.73148511861</v>
      </c>
      <c r="D25" s="5" t="n">
        <v>473.533333333333</v>
      </c>
      <c r="E25" s="10" t="n">
        <f aca="false">D27/C25</f>
        <v>0.0516049815020308</v>
      </c>
      <c r="F25" s="6" t="s">
        <v>9</v>
      </c>
      <c r="G25" s="2" t="n">
        <v>2.33</v>
      </c>
      <c r="H25" s="1" t="n">
        <v>5.73</v>
      </c>
      <c r="I25" s="1" t="n">
        <f aca="false">G25-$G$13</f>
        <v>1.39</v>
      </c>
      <c r="J25" s="1" t="n">
        <f aca="false">H25-$H$13</f>
        <v>4.26</v>
      </c>
      <c r="K25" s="1" t="n">
        <f aca="false">I25*$G$32</f>
        <v>5765.72</v>
      </c>
      <c r="L25" s="1" t="n">
        <f aca="false">J25*$G$32</f>
        <v>17670.48</v>
      </c>
      <c r="M25" s="1" t="n">
        <f aca="false">$D$2/K25</f>
        <v>0.0314329057486894</v>
      </c>
      <c r="N25" s="1" t="n">
        <f aca="false">$D$2/L25</f>
        <v>0.0102562767583752</v>
      </c>
    </row>
    <row r="26" customFormat="false" ht="13.8" hidden="false" customHeight="false" outlineLevel="0" collapsed="false">
      <c r="A26" s="5" t="s">
        <v>33</v>
      </c>
      <c r="B26" s="2" t="n">
        <v>0.88</v>
      </c>
      <c r="C26" s="2" t="n">
        <f aca="false">LN(10)*$B$33*$B$32*B26</f>
        <v>4936.2839534249</v>
      </c>
      <c r="D26" s="5" t="n">
        <v>317.533333333333</v>
      </c>
      <c r="E26" s="5" t="n">
        <f aca="false">D27/C26</f>
        <v>0.0668519078549035</v>
      </c>
      <c r="F26" s="6"/>
      <c r="G26" s="2"/>
    </row>
    <row r="27" customFormat="false" ht="13.8" hidden="false" customHeight="false" outlineLevel="0" collapsed="false">
      <c r="A27" s="5" t="s">
        <v>34</v>
      </c>
      <c r="B27" s="2" t="n">
        <v>1.18</v>
      </c>
      <c r="C27" s="2" t="n">
        <f aca="false">LN(10)*$B$33*$B$32*B27</f>
        <v>6619.10802845611</v>
      </c>
      <c r="D27" s="5" t="n">
        <v>330</v>
      </c>
      <c r="E27" s="9" t="n">
        <f aca="false">D27/C27</f>
        <v>0.0498556600951823</v>
      </c>
      <c r="F27" s="6" t="s">
        <v>9</v>
      </c>
      <c r="G27" s="2" t="n">
        <v>4.04</v>
      </c>
      <c r="H27" s="1" t="n">
        <v>6.29</v>
      </c>
      <c r="I27" s="1" t="n">
        <f aca="false">G27-$G$13</f>
        <v>3.1</v>
      </c>
      <c r="J27" s="1" t="n">
        <f aca="false">H27-$H$13</f>
        <v>4.82</v>
      </c>
      <c r="K27" s="1" t="n">
        <f aca="false">I27*$G$32</f>
        <v>12858.8</v>
      </c>
      <c r="L27" s="1" t="n">
        <f aca="false">J27*$G$32</f>
        <v>19993.36</v>
      </c>
      <c r="M27" s="1" t="n">
        <f aca="false">$D$2/K27</f>
        <v>0.0140941093518317</v>
      </c>
      <c r="N27" s="1" t="n">
        <f aca="false">$D$2/L27</f>
        <v>0.00906467613914486</v>
      </c>
    </row>
    <row r="28" customFormat="false" ht="13.8" hidden="false" customHeight="false" outlineLevel="0" collapsed="false">
      <c r="H28" s="2"/>
      <c r="I28" s="2"/>
      <c r="J28" s="2"/>
    </row>
    <row r="29" customFormat="false" ht="13.8" hidden="false" customHeight="false" outlineLevel="0" collapsed="false">
      <c r="B29" s="5"/>
      <c r="C29" s="5"/>
      <c r="D29" s="5"/>
      <c r="E29" s="11" t="n">
        <f aca="false">AVERAGE(E2,E16,E17,E20,E21,E22,E25,E27)</f>
        <v>0.0459542747486251</v>
      </c>
      <c r="F29" s="6" t="n">
        <f aca="false">E29/2</f>
        <v>0.0229771373743126</v>
      </c>
      <c r="G29" s="5"/>
    </row>
    <row r="30" customFormat="false" ht="13.8" hidden="false" customHeight="false" outlineLevel="0" collapsed="false">
      <c r="E30" s="12" t="n">
        <f aca="false">STDEV(E2,E16,E17,E20,E21,E22,E25,E27)</f>
        <v>0.024282547956706</v>
      </c>
    </row>
    <row r="31" customFormat="false" ht="13.8" hidden="false" customHeight="false" outlineLevel="0" collapsed="false">
      <c r="E31" s="12"/>
      <c r="G31" s="1" t="s">
        <v>35</v>
      </c>
    </row>
    <row r="32" customFormat="false" ht="13.8" hidden="false" customHeight="false" outlineLevel="0" collapsed="false">
      <c r="A32" s="1" t="s">
        <v>36</v>
      </c>
      <c r="B32" s="13" t="n">
        <v>293</v>
      </c>
      <c r="C32" s="1" t="s">
        <v>37</v>
      </c>
      <c r="G32" s="1" t="n">
        <v>4148</v>
      </c>
      <c r="M32" s="1" t="n">
        <f aca="false">AVERAGE(M2:M27)</f>
        <v>0.0243010886459464</v>
      </c>
      <c r="N32" s="1" t="n">
        <f aca="false">AVERAGE(N2:N27)</f>
        <v>0.0123765587089272</v>
      </c>
    </row>
    <row r="33" customFormat="false" ht="13.8" hidden="false" customHeight="false" outlineLevel="0" collapsed="false">
      <c r="A33" s="1" t="s">
        <v>38</v>
      </c>
      <c r="B33" s="1" t="n">
        <v>8.314462</v>
      </c>
    </row>
    <row r="35" customFormat="false" ht="13.8" hidden="false" customHeight="false" outlineLevel="0" collapsed="false">
      <c r="A35" s="5" t="s">
        <v>39</v>
      </c>
    </row>
    <row r="36" customFormat="false" ht="13.8" hidden="false" customHeight="false" outlineLevel="0" collapsed="false">
      <c r="A36" s="1" t="s">
        <v>40</v>
      </c>
    </row>
    <row r="37" customFormat="false" ht="13.8" hidden="false" customHeight="false" outlineLevel="0" collapsed="false">
      <c r="A37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1.26"/>
    <col collapsed="false" customWidth="true" hidden="false" outlineLevel="0" max="2" min="2" style="0" width="18.13"/>
    <col collapsed="false" customWidth="true" hidden="false" outlineLevel="0" max="3" min="3" style="0" width="20.9"/>
    <col collapsed="false" customWidth="true" hidden="false" outlineLevel="0" max="4" min="4" style="0" width="17.01"/>
    <col collapsed="false" customWidth="true" hidden="false" outlineLevel="0" max="5" min="5" style="0" width="20.07"/>
  </cols>
  <sheetData>
    <row r="1" s="14" customFormat="true" ht="13.8" hidden="false" customHeight="false" outlineLevel="0" collapsed="false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customFormat="false" ht="13.8" hidden="false" customHeight="false" outlineLevel="0" collapsed="false">
      <c r="A2" s="0" t="s">
        <v>8</v>
      </c>
      <c r="B2" s="15" t="n">
        <v>2.11</v>
      </c>
      <c r="C2" s="2" t="n">
        <f aca="false">LN(10)*$B$27*$B$26*B2</f>
        <v>12043.8991549246</v>
      </c>
      <c r="D2" s="0" t="n">
        <v>181.233333333333</v>
      </c>
      <c r="E2" s="0" t="n">
        <f aca="false">D2/C2</f>
        <v>0.0150477292280572</v>
      </c>
      <c r="F2" s="15" t="s">
        <v>9</v>
      </c>
    </row>
    <row r="3" customFormat="false" ht="13.8" hidden="false" customHeight="false" outlineLevel="0" collapsed="false">
      <c r="A3" s="0" t="s">
        <v>10</v>
      </c>
      <c r="B3" s="15" t="n">
        <v>4.32</v>
      </c>
      <c r="C3" s="2" t="n">
        <f aca="false">LN(10)*$B$27*$B$26*B3</f>
        <v>24658.5992176656</v>
      </c>
      <c r="D3" s="0" t="n">
        <v>276.3</v>
      </c>
      <c r="E3" s="0" t="n">
        <v>-0.410470714229108</v>
      </c>
      <c r="F3" s="15"/>
    </row>
    <row r="4" customFormat="false" ht="13.8" hidden="false" customHeight="false" outlineLevel="0" collapsed="false">
      <c r="A4" s="0" t="s">
        <v>12</v>
      </c>
      <c r="B4" s="15" t="n">
        <v>4.88</v>
      </c>
      <c r="C4" s="2" t="n">
        <f aca="false">LN(10)*$B$27*$B$26*B4</f>
        <v>27855.084301437</v>
      </c>
      <c r="D4" s="0" t="n">
        <v>105.533333333333</v>
      </c>
      <c r="E4" s="0" t="n">
        <v>-0.116285179718724</v>
      </c>
      <c r="F4" s="15"/>
    </row>
    <row r="5" customFormat="false" ht="13.8" hidden="false" customHeight="false" outlineLevel="0" collapsed="false">
      <c r="A5" s="0" t="s">
        <v>14</v>
      </c>
      <c r="B5" s="15" t="n">
        <v>3.29</v>
      </c>
      <c r="C5" s="2" t="n">
        <f aca="false">LN(10)*$B$27*$B$26*B5</f>
        <v>18779.3498671573</v>
      </c>
      <c r="D5" s="0" t="n">
        <v>104.366666666667</v>
      </c>
      <c r="E5" s="0" t="n">
        <v>-0.0332038216621984</v>
      </c>
      <c r="F5" s="15"/>
    </row>
    <row r="6" customFormat="false" ht="13.8" hidden="false" customHeight="false" outlineLevel="0" collapsed="false">
      <c r="A6" s="0" t="s">
        <v>15</v>
      </c>
      <c r="B6" s="15" t="n">
        <v>0.82</v>
      </c>
      <c r="C6" s="2" t="n">
        <f aca="false">LN(10)*$B$27*$B$26*B6</f>
        <v>4680.56744409393</v>
      </c>
      <c r="D6" s="0" t="n">
        <v>252.966666666667</v>
      </c>
      <c r="E6" s="0" t="n">
        <v>0.0423504118703584</v>
      </c>
      <c r="F6" s="15"/>
    </row>
    <row r="7" customFormat="false" ht="13.8" hidden="false" customHeight="false" outlineLevel="0" collapsed="false">
      <c r="A7" s="0" t="s">
        <v>17</v>
      </c>
      <c r="B7" s="15" t="n">
        <v>0.1</v>
      </c>
      <c r="C7" s="2" t="n">
        <f aca="false">LN(10)*$B$27*$B$26*B7</f>
        <v>570.800907816333</v>
      </c>
      <c r="D7" s="0" t="n">
        <v>195.566666666667</v>
      </c>
      <c r="E7" s="0" t="n">
        <v>0.361059726334572</v>
      </c>
      <c r="F7" s="15"/>
    </row>
    <row r="8" customFormat="false" ht="13.8" hidden="false" customHeight="false" outlineLevel="0" collapsed="false">
      <c r="A8" s="0" t="s">
        <v>19</v>
      </c>
      <c r="B8" s="15" t="n">
        <v>-0.98</v>
      </c>
      <c r="C8" s="2" t="n">
        <f aca="false">LN(10)*$B$27*$B$26*B8</f>
        <v>-5593.84889660006</v>
      </c>
      <c r="D8" s="0" t="n">
        <v>194.8</v>
      </c>
      <c r="E8" s="0" t="n">
        <v>-0.0721879331530727</v>
      </c>
      <c r="F8" s="15"/>
    </row>
    <row r="9" customFormat="false" ht="13.8" hidden="false" customHeight="false" outlineLevel="0" collapsed="false">
      <c r="A9" s="0" t="s">
        <v>20</v>
      </c>
      <c r="B9" s="15" t="n">
        <v>0</v>
      </c>
      <c r="C9" s="2" t="n">
        <f aca="false">LN(10)*$B$27*$B$26*B9</f>
        <v>0</v>
      </c>
      <c r="D9" s="0" t="n">
        <v>92.3666666666667</v>
      </c>
      <c r="F9" s="15"/>
    </row>
    <row r="10" customFormat="false" ht="13.8" hidden="false" customHeight="false" outlineLevel="0" collapsed="false">
      <c r="A10" s="0" t="s">
        <v>21</v>
      </c>
      <c r="B10" s="15" t="n">
        <v>0.39</v>
      </c>
      <c r="C10" s="2" t="n">
        <f aca="false">LN(10)*$B$27*$B$26*B10</f>
        <v>2226.1235404837</v>
      </c>
      <c r="D10" s="0" t="n">
        <v>202.533333333333</v>
      </c>
      <c r="E10" s="0" t="n">
        <v>0.0883435582319614</v>
      </c>
      <c r="F10" s="15"/>
    </row>
    <row r="11" customFormat="false" ht="13.8" hidden="false" customHeight="false" outlineLevel="0" collapsed="false">
      <c r="A11" s="0" t="s">
        <v>23</v>
      </c>
      <c r="B11" s="15" t="n">
        <v>1.55</v>
      </c>
      <c r="C11" s="2" t="n">
        <f aca="false">LN(10)*$B$27*$B$26*B11</f>
        <v>8847.41407115316</v>
      </c>
      <c r="D11" s="0" t="n">
        <v>417.1</v>
      </c>
      <c r="E11" s="0" t="n">
        <v>0.0226079254836052</v>
      </c>
      <c r="F11" s="15" t="s">
        <v>9</v>
      </c>
    </row>
    <row r="12" customFormat="false" ht="13.8" hidden="false" customHeight="false" outlineLevel="0" collapsed="false">
      <c r="A12" s="0" t="s">
        <v>24</v>
      </c>
      <c r="B12" s="15" t="n">
        <v>1.64</v>
      </c>
      <c r="C12" s="2" t="n">
        <f aca="false">LN(10)*$B$27*$B$26*B12</f>
        <v>9361.13488818786</v>
      </c>
      <c r="D12" s="0" t="n">
        <v>396.833333333333</v>
      </c>
      <c r="E12" s="0" t="n">
        <v>0.0104354197627167</v>
      </c>
      <c r="F12" s="15" t="s">
        <v>9</v>
      </c>
    </row>
    <row r="13" customFormat="false" ht="13.8" hidden="false" customHeight="false" outlineLevel="0" collapsed="false">
      <c r="A13" s="0" t="s">
        <v>25</v>
      </c>
      <c r="B13" s="15" t="n">
        <v>-0.12</v>
      </c>
      <c r="C13" s="2" t="n">
        <f aca="false">LN(10)*$B$27*$B$26*B13</f>
        <v>-684.961089379599</v>
      </c>
      <c r="D13" s="0" t="n">
        <v>258.966666666667</v>
      </c>
      <c r="E13" s="0" t="n">
        <v>-0.300387905961367</v>
      </c>
      <c r="F13" s="15"/>
    </row>
    <row r="14" customFormat="false" ht="13.8" hidden="false" customHeight="false" outlineLevel="0" collapsed="false">
      <c r="A14" s="0" t="s">
        <v>27</v>
      </c>
      <c r="B14" s="15" t="n">
        <v>1.42</v>
      </c>
      <c r="C14" s="2" t="n">
        <f aca="false">LN(10)*$B$27*$B$26*B14</f>
        <v>8105.37289099192</v>
      </c>
      <c r="D14" s="0" t="n">
        <v>193.266666666667</v>
      </c>
      <c r="E14" s="0" t="n">
        <v>0.0398642425180476</v>
      </c>
      <c r="F14" s="15" t="s">
        <v>9</v>
      </c>
    </row>
    <row r="15" customFormat="false" ht="13.8" hidden="false" customHeight="false" outlineLevel="0" collapsed="false">
      <c r="A15" s="0" t="s">
        <v>28</v>
      </c>
      <c r="B15" s="15" t="n">
        <v>1.63</v>
      </c>
      <c r="C15" s="2" t="n">
        <f aca="false">LN(10)*$B$27*$B$26*B15</f>
        <v>9304.05479740622</v>
      </c>
      <c r="D15" s="0" t="n">
        <v>398.033333333333</v>
      </c>
      <c r="E15" s="0" t="n">
        <v>0.0360918275535676</v>
      </c>
      <c r="F15" s="15" t="s">
        <v>9</v>
      </c>
    </row>
    <row r="16" customFormat="false" ht="13.8" hidden="false" customHeight="false" outlineLevel="0" collapsed="false">
      <c r="A16" s="0" t="s">
        <v>29</v>
      </c>
      <c r="B16" s="15" t="n">
        <v>0.77</v>
      </c>
      <c r="C16" s="2" t="n">
        <f aca="false">LN(10)*$B$27*$B$26*B16</f>
        <v>4395.16699018576</v>
      </c>
      <c r="D16" s="0" t="n">
        <v>196.566666666667</v>
      </c>
      <c r="E16" s="0" t="n">
        <v>0.076402180405604</v>
      </c>
      <c r="F16" s="15" t="s">
        <v>9</v>
      </c>
    </row>
    <row r="17" customFormat="false" ht="13.8" hidden="false" customHeight="false" outlineLevel="0" collapsed="false">
      <c r="A17" s="0" t="s">
        <v>30</v>
      </c>
      <c r="B17" s="15" t="n">
        <v>-0.08</v>
      </c>
      <c r="C17" s="2" t="n">
        <f aca="false">LN(10)*$B$27*$B$26*B17</f>
        <v>-456.640726253066</v>
      </c>
      <c r="D17" s="0" t="n">
        <v>96</v>
      </c>
      <c r="E17" s="0" t="n">
        <v>-0.735370986403939</v>
      </c>
      <c r="F17" s="15"/>
    </row>
    <row r="18" customFormat="false" ht="13.8" hidden="false" customHeight="false" outlineLevel="0" collapsed="false">
      <c r="A18" s="0" t="s">
        <v>31</v>
      </c>
      <c r="B18" s="15" t="n">
        <v>0.33</v>
      </c>
      <c r="C18" s="2" t="n">
        <f aca="false">LN(10)*$B$27*$B$26*B18</f>
        <v>1883.6429957939</v>
      </c>
      <c r="D18" s="0" t="n">
        <v>202.2</v>
      </c>
      <c r="E18" s="0" t="n">
        <v>0.178271754279743</v>
      </c>
      <c r="F18" s="15"/>
    </row>
    <row r="19" customFormat="false" ht="13.8" hidden="false" customHeight="false" outlineLevel="0" collapsed="false">
      <c r="A19" s="0" t="s">
        <v>32</v>
      </c>
      <c r="B19" s="15" t="n">
        <v>1.14</v>
      </c>
      <c r="C19" s="2" t="n">
        <f aca="false">LN(10)*$B$27*$B$26*B19</f>
        <v>6507.13034910619</v>
      </c>
      <c r="D19" s="0" t="n">
        <v>473.533333333333</v>
      </c>
      <c r="E19" s="0" t="n">
        <v>0.0516049815020308</v>
      </c>
      <c r="F19" s="15" t="s">
        <v>9</v>
      </c>
    </row>
    <row r="20" customFormat="false" ht="13.8" hidden="false" customHeight="false" outlineLevel="0" collapsed="false">
      <c r="A20" s="0" t="s">
        <v>33</v>
      </c>
      <c r="B20" s="15" t="n">
        <v>0.88</v>
      </c>
      <c r="C20" s="2" t="n">
        <f aca="false">LN(10)*$B$27*$B$26*B20</f>
        <v>5023.04798878373</v>
      </c>
      <c r="D20" s="0" t="n">
        <v>317.533333333333</v>
      </c>
      <c r="E20" s="0" t="n">
        <v>0.0668519078549035</v>
      </c>
      <c r="F20" s="15"/>
    </row>
    <row r="21" customFormat="false" ht="13.8" hidden="false" customHeight="false" outlineLevel="0" collapsed="false">
      <c r="A21" s="0" t="s">
        <v>34</v>
      </c>
      <c r="B21" s="15" t="n">
        <v>1.18</v>
      </c>
      <c r="C21" s="2" t="n">
        <f aca="false">LN(10)*$B$27*$B$26*B21</f>
        <v>6735.45071223273</v>
      </c>
      <c r="D21" s="0" t="n">
        <v>330</v>
      </c>
      <c r="E21" s="0" t="n">
        <v>0.0498556600951823</v>
      </c>
      <c r="F21" s="15" t="s">
        <v>9</v>
      </c>
    </row>
    <row r="23" customFormat="false" ht="13.8" hidden="false" customHeight="false" outlineLevel="0" collapsed="false">
      <c r="B23" s="15" t="s">
        <v>42</v>
      </c>
      <c r="E23" s="0" t="n">
        <v>0.0459542747486251</v>
      </c>
      <c r="F23" s="0" t="n">
        <v>0.0229771373743126</v>
      </c>
    </row>
    <row r="24" customFormat="false" ht="13.8" hidden="false" customHeight="false" outlineLevel="0" collapsed="false">
      <c r="E24" s="0" t="n">
        <v>0.024282547956706</v>
      </c>
    </row>
    <row r="26" customFormat="false" ht="13.8" hidden="false" customHeight="false" outlineLevel="0" collapsed="false">
      <c r="A26" s="0" t="s">
        <v>36</v>
      </c>
      <c r="B26" s="0" t="n">
        <v>298.15</v>
      </c>
    </row>
    <row r="27" customFormat="false" ht="13.8" hidden="false" customHeight="false" outlineLevel="0" collapsed="false">
      <c r="A27" s="0" t="s">
        <v>38</v>
      </c>
      <c r="B27" s="0" t="n">
        <v>8.314462</v>
      </c>
    </row>
    <row r="29" customFormat="false" ht="13.8" hidden="false" customHeight="false" outlineLevel="0" collapsed="false">
      <c r="A29" s="0" t="s">
        <v>39</v>
      </c>
    </row>
    <row r="30" customFormat="false" ht="13.8" hidden="false" customHeight="false" outlineLevel="0" collapsed="false">
      <c r="A30" s="0" t="s">
        <v>43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2025-11-12T14:27:27Z</dcterms:created>
  <dc:creator/>
  <dc:description/>
  <dc:language>en-US</dc:language>
  <cp:lastModifiedBy/>
  <dcterms:modified xsi:type="dcterms:W3CDTF">2026-03-30T13:56:02Z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